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nddi\Desktop\Workspace\HYON\Trust\"/>
    </mc:Choice>
  </mc:AlternateContent>
  <xr:revisionPtr revIDLastSave="0" documentId="13_ncr:1_{A5F27235-0EC9-4E51-8D71-CBEE01B5CC02}" xr6:coauthVersionLast="47" xr6:coauthVersionMax="47" xr10:uidLastSave="{00000000-0000-0000-0000-000000000000}"/>
  <bookViews>
    <workbookView xWindow="-120" yWindow="-120" windowWidth="29040" windowHeight="15840" xr2:uid="{428CC1A7-7212-40F8-853B-A51563B6DD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Z4" i="1" l="1"/>
  <c r="AB4" i="1" s="1"/>
  <c r="Z5" i="1"/>
  <c r="Z6" i="1"/>
  <c r="AB6" i="1" s="1"/>
  <c r="Z7" i="1"/>
  <c r="Z8" i="1"/>
  <c r="Z9" i="1"/>
  <c r="AB9" i="1" s="1"/>
  <c r="Z10" i="1"/>
  <c r="Z11" i="1"/>
  <c r="AB11" i="1" s="1"/>
  <c r="Z12" i="1"/>
  <c r="AB12" i="1" s="1"/>
  <c r="Z13" i="1"/>
  <c r="Z14" i="1"/>
  <c r="AB14" i="1" s="1"/>
  <c r="Z15" i="1"/>
  <c r="Z16" i="1"/>
  <c r="Z17" i="1"/>
  <c r="AB17" i="1" s="1"/>
  <c r="Z18" i="1"/>
  <c r="Z19" i="1"/>
  <c r="AB19" i="1" s="1"/>
  <c r="Z20" i="1"/>
  <c r="AB20" i="1" s="1"/>
  <c r="Z21" i="1"/>
  <c r="Z22" i="1"/>
  <c r="AB22" i="1" s="1"/>
  <c r="Z23" i="1"/>
  <c r="Z24" i="1"/>
  <c r="Z25" i="1"/>
  <c r="AB25" i="1" s="1"/>
  <c r="Z26" i="1"/>
  <c r="Z27" i="1"/>
  <c r="AB27" i="1" s="1"/>
  <c r="Z28" i="1"/>
  <c r="Z3" i="1"/>
  <c r="AB3" i="1" s="1"/>
  <c r="N3" i="1"/>
  <c r="AA6" i="1"/>
  <c r="AB5" i="1"/>
  <c r="AB7" i="1"/>
  <c r="AB8" i="1"/>
  <c r="AB10" i="1"/>
  <c r="AB13" i="1"/>
  <c r="AB15" i="1"/>
  <c r="AB16" i="1"/>
  <c r="AB18" i="1"/>
  <c r="AB21" i="1"/>
  <c r="AB23" i="1"/>
  <c r="AB24" i="1"/>
  <c r="AB26" i="1"/>
  <c r="AA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M3" i="1"/>
  <c r="O27" i="1"/>
  <c r="D3" i="1"/>
  <c r="P2" i="1"/>
  <c r="Y3" i="1"/>
  <c r="Y4" i="1"/>
  <c r="Y5" i="1"/>
  <c r="AA4" i="1" s="1"/>
  <c r="Y6" i="1"/>
  <c r="Y7" i="1"/>
  <c r="Y8" i="1"/>
  <c r="Y9" i="1"/>
  <c r="Y10" i="1"/>
  <c r="AA9" i="1" s="1"/>
  <c r="Y11" i="1"/>
  <c r="AA11" i="1" s="1"/>
  <c r="Y12" i="1"/>
  <c r="Y13" i="1"/>
  <c r="AA12" i="1" s="1"/>
  <c r="Y14" i="1"/>
  <c r="Y15" i="1"/>
  <c r="Y16" i="1"/>
  <c r="Y17" i="1"/>
  <c r="Y18" i="1"/>
  <c r="AA17" i="1" s="1"/>
  <c r="Y19" i="1"/>
  <c r="AA19" i="1" s="1"/>
  <c r="Y20" i="1"/>
  <c r="Y21" i="1"/>
  <c r="AA20" i="1" s="1"/>
  <c r="Y22" i="1"/>
  <c r="Y23" i="1"/>
  <c r="Y24" i="1"/>
  <c r="Y25" i="1"/>
  <c r="Y26" i="1"/>
  <c r="AA25" i="1" s="1"/>
  <c r="Y27" i="1"/>
  <c r="AA27" i="1" s="1"/>
  <c r="Y28" i="1"/>
  <c r="Y2" i="1"/>
  <c r="M4" i="1"/>
  <c r="O3" i="1" s="1"/>
  <c r="M5" i="1"/>
  <c r="M6" i="1"/>
  <c r="O6" i="1" s="1"/>
  <c r="P6" i="1" s="1"/>
  <c r="M7" i="1"/>
  <c r="M8" i="1"/>
  <c r="M9" i="1"/>
  <c r="M10" i="1"/>
  <c r="O9" i="1" s="1"/>
  <c r="P9" i="1" s="1"/>
  <c r="M11" i="1"/>
  <c r="M12" i="1"/>
  <c r="O12" i="1" s="1"/>
  <c r="M13" i="1"/>
  <c r="M14" i="1"/>
  <c r="M15" i="1"/>
  <c r="M16" i="1"/>
  <c r="M17" i="1"/>
  <c r="M18" i="1"/>
  <c r="O17" i="1" s="1"/>
  <c r="P17" i="1" s="1"/>
  <c r="M19" i="1"/>
  <c r="M20" i="1"/>
  <c r="O19" i="1" s="1"/>
  <c r="M21" i="1"/>
  <c r="M22" i="1"/>
  <c r="O22" i="1" s="1"/>
  <c r="P22" i="1" s="1"/>
  <c r="M23" i="1"/>
  <c r="M24" i="1"/>
  <c r="M25" i="1"/>
  <c r="M26" i="1"/>
  <c r="O25" i="1" s="1"/>
  <c r="P25" i="1" s="1"/>
  <c r="M27" i="1"/>
  <c r="M28" i="1"/>
  <c r="M2" i="1"/>
  <c r="O2" i="1" s="1"/>
  <c r="O11" i="1"/>
  <c r="O18" i="1"/>
  <c r="P18" i="1" s="1"/>
  <c r="O20" i="1"/>
  <c r="AA7" i="1"/>
  <c r="AA8" i="1"/>
  <c r="AA10" i="1"/>
  <c r="AA14" i="1"/>
  <c r="AA15" i="1"/>
  <c r="AA16" i="1"/>
  <c r="AA18" i="1"/>
  <c r="AA22" i="1"/>
  <c r="AA23" i="1"/>
  <c r="AA24" i="1"/>
  <c r="AA26" i="1"/>
  <c r="O7" i="1"/>
  <c r="O8" i="1"/>
  <c r="O14" i="1"/>
  <c r="P14" i="1" s="1"/>
  <c r="O15" i="1"/>
  <c r="P15" i="1" s="1"/>
  <c r="O16" i="1"/>
  <c r="P16" i="1" s="1"/>
  <c r="O23" i="1"/>
  <c r="P23" i="1" s="1"/>
  <c r="O24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" i="1"/>
  <c r="P11" i="1" l="1"/>
  <c r="P7" i="1"/>
  <c r="P3" i="1"/>
  <c r="P8" i="1"/>
  <c r="P20" i="1"/>
  <c r="P24" i="1"/>
  <c r="P27" i="1"/>
  <c r="P19" i="1"/>
  <c r="P12" i="1"/>
  <c r="AA21" i="1"/>
  <c r="AA13" i="1"/>
  <c r="AA5" i="1"/>
  <c r="AA2" i="1"/>
  <c r="AB2" i="1" s="1"/>
  <c r="O10" i="1"/>
  <c r="P10" i="1" s="1"/>
  <c r="O4" i="1"/>
  <c r="P4" i="1" s="1"/>
  <c r="O26" i="1"/>
  <c r="P26" i="1" s="1"/>
  <c r="O21" i="1"/>
  <c r="P21" i="1" s="1"/>
  <c r="O13" i="1"/>
  <c r="P13" i="1" s="1"/>
  <c r="O5" i="1"/>
  <c r="P5" i="1" s="1"/>
  <c r="E2" i="1"/>
</calcChain>
</file>

<file path=xl/sharedStrings.xml><?xml version="1.0" encoding="utf-8"?>
<sst xmlns="http://schemas.openxmlformats.org/spreadsheetml/2006/main" count="20" uniqueCount="8">
  <si>
    <t>燃焼時間（s）</t>
  </si>
  <si>
    <t>推力（N）</t>
  </si>
  <si>
    <t>dt</t>
    <phoneticPr fontId="3"/>
  </si>
  <si>
    <t>Na</t>
    <phoneticPr fontId="3"/>
  </si>
  <si>
    <t>total</t>
    <phoneticPr fontId="3"/>
  </si>
  <si>
    <t>J250 実験</t>
    <rPh sb="5" eb="7">
      <t>ジッケン</t>
    </rPh>
    <phoneticPr fontId="3"/>
  </si>
  <si>
    <t>I260 予想</t>
    <rPh sb="5" eb="7">
      <t>ヨソウ</t>
    </rPh>
    <phoneticPr fontId="3"/>
  </si>
  <si>
    <t>Tact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</si>
</sst>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_ "/>
  </numFmts>
  <fonts count="4" x14ac:knownFonts="1">
    <font>
      <sz val="11"/>
      <color theme="1"/>
      <name val="游ゴシック"/>
      <family val="2"/>
      <charset val="128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176" fontId="2" fillId="0" borderId="4" xfId="0" applyNumberFormat="1" applyFont="1" applyBorder="1" applyAlignment="1">
      <alignment horizontal="right" wrapText="1"/>
    </xf>
    <xf numFmtId="2" fontId="2" fillId="0" borderId="3" xfId="0" applyNumberFormat="1" applyFont="1" applyBorder="1" applyAlignment="1">
      <alignment horizontal="right" wrapText="1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J250 </a:t>
            </a:r>
            <a:r>
              <a:rPr lang="ja-JP" altLang="en-US"/>
              <a:t>参考</a:t>
            </a:r>
            <a:endParaRPr lang="en-US" alt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Sheet1!$A$2:$A$28</c:f>
              <c:numCache>
                <c:formatCode>General</c:formatCode>
                <c:ptCount val="27"/>
                <c:pt idx="0">
                  <c:v>0</c:v>
                </c:pt>
                <c:pt idx="1">
                  <c:v>0.1</c:v>
                </c:pt>
                <c:pt idx="2">
                  <c:v>0.28999999999999998</c:v>
                </c:pt>
                <c:pt idx="3">
                  <c:v>0.47</c:v>
                </c:pt>
                <c:pt idx="4">
                  <c:v>0.67</c:v>
                </c:pt>
                <c:pt idx="5">
                  <c:v>0.87</c:v>
                </c:pt>
                <c:pt idx="6">
                  <c:v>1.06</c:v>
                </c:pt>
                <c:pt idx="7">
                  <c:v>1.25</c:v>
                </c:pt>
                <c:pt idx="8">
                  <c:v>1.45</c:v>
                </c:pt>
                <c:pt idx="9">
                  <c:v>1.64</c:v>
                </c:pt>
                <c:pt idx="10">
                  <c:v>1.83</c:v>
                </c:pt>
                <c:pt idx="11">
                  <c:v>2.0299999999999998</c:v>
                </c:pt>
                <c:pt idx="12">
                  <c:v>2.2200000000000002</c:v>
                </c:pt>
                <c:pt idx="13">
                  <c:v>2.41</c:v>
                </c:pt>
                <c:pt idx="14">
                  <c:v>2.61</c:v>
                </c:pt>
                <c:pt idx="15">
                  <c:v>2.8</c:v>
                </c:pt>
                <c:pt idx="16">
                  <c:v>2.99</c:v>
                </c:pt>
                <c:pt idx="17">
                  <c:v>3.19</c:v>
                </c:pt>
                <c:pt idx="18">
                  <c:v>3.38</c:v>
                </c:pt>
                <c:pt idx="19">
                  <c:v>3.57</c:v>
                </c:pt>
                <c:pt idx="20">
                  <c:v>3.77</c:v>
                </c:pt>
                <c:pt idx="21">
                  <c:v>3.96</c:v>
                </c:pt>
                <c:pt idx="22">
                  <c:v>4.1500000000000004</c:v>
                </c:pt>
                <c:pt idx="23">
                  <c:v>4.3499999999999996</c:v>
                </c:pt>
                <c:pt idx="24">
                  <c:v>4.54</c:v>
                </c:pt>
                <c:pt idx="25">
                  <c:v>4.7300000000000004</c:v>
                </c:pt>
                <c:pt idx="26">
                  <c:v>4.92</c:v>
                </c:pt>
              </c:numCache>
            </c:numRef>
          </c:xVal>
          <c:yVal>
            <c:numRef>
              <c:f>Sheet1!$B$2:$B$28</c:f>
              <c:numCache>
                <c:formatCode>General</c:formatCode>
                <c:ptCount val="27"/>
                <c:pt idx="0">
                  <c:v>0</c:v>
                </c:pt>
                <c:pt idx="1">
                  <c:v>338.58</c:v>
                </c:pt>
                <c:pt idx="2">
                  <c:v>384.42</c:v>
                </c:pt>
                <c:pt idx="3">
                  <c:v>341.47</c:v>
                </c:pt>
                <c:pt idx="4">
                  <c:v>279.18</c:v>
                </c:pt>
                <c:pt idx="5">
                  <c:v>267.52999999999997</c:v>
                </c:pt>
                <c:pt idx="6">
                  <c:v>256.32</c:v>
                </c:pt>
                <c:pt idx="7">
                  <c:v>250.11</c:v>
                </c:pt>
                <c:pt idx="8">
                  <c:v>244.4</c:v>
                </c:pt>
                <c:pt idx="9">
                  <c:v>238.85</c:v>
                </c:pt>
                <c:pt idx="10">
                  <c:v>236.5</c:v>
                </c:pt>
                <c:pt idx="11">
                  <c:v>232.03</c:v>
                </c:pt>
                <c:pt idx="12">
                  <c:v>223.96</c:v>
                </c:pt>
                <c:pt idx="13">
                  <c:v>213.24</c:v>
                </c:pt>
                <c:pt idx="14">
                  <c:v>201.66</c:v>
                </c:pt>
                <c:pt idx="15">
                  <c:v>150.52000000000001</c:v>
                </c:pt>
                <c:pt idx="16">
                  <c:v>101.33</c:v>
                </c:pt>
                <c:pt idx="17">
                  <c:v>84</c:v>
                </c:pt>
                <c:pt idx="18">
                  <c:v>73.900000000000006</c:v>
                </c:pt>
                <c:pt idx="19">
                  <c:v>60.22</c:v>
                </c:pt>
                <c:pt idx="20">
                  <c:v>49.21</c:v>
                </c:pt>
                <c:pt idx="21">
                  <c:v>39.1</c:v>
                </c:pt>
                <c:pt idx="22">
                  <c:v>29.87</c:v>
                </c:pt>
                <c:pt idx="23">
                  <c:v>22.6</c:v>
                </c:pt>
                <c:pt idx="24">
                  <c:v>16.84</c:v>
                </c:pt>
                <c:pt idx="25">
                  <c:v>11.96</c:v>
                </c:pt>
                <c:pt idx="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7A-4343-AC1D-3EB8F32DE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4934656"/>
        <c:axId val="1642979584"/>
      </c:scatterChart>
      <c:valAx>
        <c:axId val="163493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42979584"/>
        <c:crosses val="autoZero"/>
        <c:crossBetween val="midCat"/>
      </c:valAx>
      <c:valAx>
        <c:axId val="164297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4934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J250</a:t>
            </a:r>
            <a:r>
              <a:rPr lang="en-US" altLang="ja-JP" baseline="0"/>
              <a:t> </a:t>
            </a:r>
            <a:r>
              <a:rPr lang="ja-JP" altLang="en-US" baseline="0"/>
              <a:t>実験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Sheet1!$M$2:$M$28</c:f>
              <c:numCache>
                <c:formatCode>0.00</c:formatCode>
                <c:ptCount val="27"/>
                <c:pt idx="0">
                  <c:v>0</c:v>
                </c:pt>
                <c:pt idx="1">
                  <c:v>6.2148373983739846E-2</c:v>
                </c:pt>
                <c:pt idx="2">
                  <c:v>0.18023028455284554</c:v>
                </c:pt>
                <c:pt idx="3">
                  <c:v>0.29209735772357726</c:v>
                </c:pt>
                <c:pt idx="4">
                  <c:v>0.41639410569105695</c:v>
                </c:pt>
                <c:pt idx="5">
                  <c:v>0.54069085365853664</c:v>
                </c:pt>
                <c:pt idx="6">
                  <c:v>0.6587727642276423</c:v>
                </c:pt>
                <c:pt idx="7">
                  <c:v>0.77685467479674797</c:v>
                </c:pt>
                <c:pt idx="8">
                  <c:v>0.90115142276422777</c:v>
                </c:pt>
                <c:pt idx="9">
                  <c:v>1.0192333333333334</c:v>
                </c:pt>
                <c:pt idx="10">
                  <c:v>1.1373152439024392</c:v>
                </c:pt>
                <c:pt idx="11">
                  <c:v>1.2616119918699187</c:v>
                </c:pt>
                <c:pt idx="12">
                  <c:v>1.3796939024390247</c:v>
                </c:pt>
                <c:pt idx="13">
                  <c:v>1.4977758130081302</c:v>
                </c:pt>
                <c:pt idx="14">
                  <c:v>1.6220725609756097</c:v>
                </c:pt>
                <c:pt idx="15">
                  <c:v>1.7401544715447155</c:v>
                </c:pt>
                <c:pt idx="16">
                  <c:v>1.8582363821138213</c:v>
                </c:pt>
                <c:pt idx="17">
                  <c:v>1.9825331300813009</c:v>
                </c:pt>
                <c:pt idx="18">
                  <c:v>2.1006150406504065</c:v>
                </c:pt>
                <c:pt idx="19">
                  <c:v>2.218696951219512</c:v>
                </c:pt>
                <c:pt idx="20">
                  <c:v>2.3429936991869922</c:v>
                </c:pt>
                <c:pt idx="21">
                  <c:v>2.4610756097560977</c:v>
                </c:pt>
                <c:pt idx="22">
                  <c:v>2.5791575203252033</c:v>
                </c:pt>
                <c:pt idx="23">
                  <c:v>2.7034542682926825</c:v>
                </c:pt>
                <c:pt idx="24">
                  <c:v>2.821536178861789</c:v>
                </c:pt>
                <c:pt idx="25">
                  <c:v>2.9396180894308945</c:v>
                </c:pt>
                <c:pt idx="26">
                  <c:v>3.0577000000000001</c:v>
                </c:pt>
              </c:numCache>
            </c:numRef>
          </c:xVal>
          <c:yVal>
            <c:numRef>
              <c:f>Sheet1!$N$2:$N$28</c:f>
              <c:numCache>
                <c:formatCode>0.000</c:formatCode>
                <c:ptCount val="27"/>
                <c:pt idx="0" formatCode="General">
                  <c:v>0</c:v>
                </c:pt>
                <c:pt idx="1">
                  <c:v>389.11760553714424</c:v>
                </c:pt>
                <c:pt idx="2">
                  <c:v>441.79984027582555</c:v>
                </c:pt>
                <c:pt idx="3">
                  <c:v>392.43897679357508</c:v>
                </c:pt>
                <c:pt idx="4">
                  <c:v>320.85135895168037</c:v>
                </c:pt>
                <c:pt idx="5">
                  <c:v>307.46244021900935</c:v>
                </c:pt>
                <c:pt idx="6">
                  <c:v>294.57919738697149</c:v>
                </c:pt>
                <c:pt idx="7">
                  <c:v>287.44227160758214</c:v>
                </c:pt>
                <c:pt idx="8">
                  <c:v>280.87997753345758</c:v>
                </c:pt>
                <c:pt idx="9">
                  <c:v>274.50156560501767</c:v>
                </c:pt>
                <c:pt idx="10">
                  <c:v>271.80079659027297</c:v>
                </c:pt>
                <c:pt idx="11">
                  <c:v>266.66358914520521</c:v>
                </c:pt>
                <c:pt idx="12">
                  <c:v>257.38903342223057</c:v>
                </c:pt>
                <c:pt idx="13">
                  <c:v>245.06892966135223</c:v>
                </c:pt>
                <c:pt idx="14">
                  <c:v>231.76045936741841</c:v>
                </c:pt>
                <c:pt idx="15">
                  <c:v>172.98712855292973</c:v>
                </c:pt>
                <c:pt idx="16">
                  <c:v>116.45486138897401</c:v>
                </c:pt>
                <c:pt idx="17">
                  <c:v>96.538126484494413</c:v>
                </c:pt>
                <c:pt idx="18">
                  <c:v>84.930566038144505</c:v>
                </c:pt>
                <c:pt idx="19">
                  <c:v>69.20864258209825</c:v>
                </c:pt>
                <c:pt idx="20">
                  <c:v>56.555252432166313</c:v>
                </c:pt>
                <c:pt idx="21">
                  <c:v>44.936199351711089</c:v>
                </c:pt>
                <c:pt idx="22">
                  <c:v>34.328498072522009</c:v>
                </c:pt>
                <c:pt idx="23">
                  <c:v>25.973353077971115</c:v>
                </c:pt>
                <c:pt idx="24">
                  <c:v>19.353595833320067</c:v>
                </c:pt>
                <c:pt idx="25">
                  <c:v>13.745190389935159</c:v>
                </c:pt>
                <c:pt idx="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82-4777-AB36-1451D0B45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4474080"/>
        <c:axId val="1634470752"/>
      </c:scatterChart>
      <c:valAx>
        <c:axId val="163447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4470752"/>
        <c:crosses val="autoZero"/>
        <c:crossBetween val="midCat"/>
      </c:valAx>
      <c:valAx>
        <c:axId val="163447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4474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I260 </a:t>
            </a:r>
            <a:r>
              <a:rPr lang="ja-JP" altLang="en-US"/>
              <a:t>予想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Sheet1!$Y$2:$Y$28</c:f>
              <c:numCache>
                <c:formatCode>0.00</c:formatCode>
                <c:ptCount val="27"/>
                <c:pt idx="0" formatCode="General">
                  <c:v>0</c:v>
                </c:pt>
                <c:pt idx="1">
                  <c:v>4.4715447154471552E-2</c:v>
                </c:pt>
                <c:pt idx="2">
                  <c:v>0.12967479674796747</c:v>
                </c:pt>
                <c:pt idx="3">
                  <c:v>0.21016260162601627</c:v>
                </c:pt>
                <c:pt idx="4">
                  <c:v>0.29959349593495938</c:v>
                </c:pt>
                <c:pt idx="5">
                  <c:v>0.38902439024390245</c:v>
                </c:pt>
                <c:pt idx="6">
                  <c:v>0.47398373983739844</c:v>
                </c:pt>
                <c:pt idx="7">
                  <c:v>0.55894308943089432</c:v>
                </c:pt>
                <c:pt idx="8">
                  <c:v>0.64837398373983735</c:v>
                </c:pt>
                <c:pt idx="9">
                  <c:v>0.73333333333333339</c:v>
                </c:pt>
                <c:pt idx="10">
                  <c:v>0.81829268292682944</c:v>
                </c:pt>
                <c:pt idx="11">
                  <c:v>0.90772357723577246</c:v>
                </c:pt>
                <c:pt idx="12">
                  <c:v>0.99268292682926851</c:v>
                </c:pt>
                <c:pt idx="13">
                  <c:v>1.0776422764227644</c:v>
                </c:pt>
                <c:pt idx="14">
                  <c:v>1.1670731707317072</c:v>
                </c:pt>
                <c:pt idx="15">
                  <c:v>1.2520325203252034</c:v>
                </c:pt>
                <c:pt idx="16">
                  <c:v>1.3369918699186993</c:v>
                </c:pt>
                <c:pt idx="17">
                  <c:v>1.4264227642276424</c:v>
                </c:pt>
                <c:pt idx="18">
                  <c:v>1.5113821138211383</c:v>
                </c:pt>
                <c:pt idx="19">
                  <c:v>1.5963414634146342</c:v>
                </c:pt>
                <c:pt idx="20">
                  <c:v>1.6857723577235773</c:v>
                </c:pt>
                <c:pt idx="21">
                  <c:v>1.7707317073170732</c:v>
                </c:pt>
                <c:pt idx="22">
                  <c:v>1.8556910569105693</c:v>
                </c:pt>
                <c:pt idx="23">
                  <c:v>1.9451219512195124</c:v>
                </c:pt>
                <c:pt idx="24">
                  <c:v>2.0300813008130083</c:v>
                </c:pt>
                <c:pt idx="25">
                  <c:v>2.1150406504065047</c:v>
                </c:pt>
                <c:pt idx="26">
                  <c:v>2.2000000000000002</c:v>
                </c:pt>
              </c:numCache>
            </c:numRef>
          </c:xVal>
          <c:yVal>
            <c:numRef>
              <c:f>Sheet1!$Z$2:$Z$28</c:f>
              <c:numCache>
                <c:formatCode>0.000</c:formatCode>
                <c:ptCount val="27"/>
                <c:pt idx="0" formatCode="General">
                  <c:v>0</c:v>
                </c:pt>
                <c:pt idx="1">
                  <c:v>511.81086203375617</c:v>
                </c:pt>
                <c:pt idx="2">
                  <c:v>581.10441131495236</c:v>
                </c:pt>
                <c:pt idx="3">
                  <c:v>516.17949984838663</c:v>
                </c:pt>
                <c:pt idx="4">
                  <c:v>422.01948272958845</c:v>
                </c:pt>
                <c:pt idx="5">
                  <c:v>404.40888392666659</c:v>
                </c:pt>
                <c:pt idx="6">
                  <c:v>387.46340645192384</c:v>
                </c:pt>
                <c:pt idx="7">
                  <c:v>378.07612588830631</c:v>
                </c:pt>
                <c:pt idx="8">
                  <c:v>369.44466501580126</c:v>
                </c:pt>
                <c:pt idx="9">
                  <c:v>361.05506644445234</c:v>
                </c:pt>
                <c:pt idx="10">
                  <c:v>357.50271389622344</c:v>
                </c:pt>
                <c:pt idx="11">
                  <c:v>350.74568585767753</c:v>
                </c:pt>
                <c:pt idx="12">
                  <c:v>338.54675604312143</c:v>
                </c:pt>
                <c:pt idx="13">
                  <c:v>322.34198186566886</c:v>
                </c:pt>
                <c:pt idx="14">
                  <c:v>304.83719781950288</c:v>
                </c:pt>
                <c:pt idx="15">
                  <c:v>227.53195981251397</c:v>
                </c:pt>
                <c:pt idx="16">
                  <c:v>153.17441860086393</c:v>
                </c:pt>
                <c:pt idx="17">
                  <c:v>126.97770810690389</c:v>
                </c:pt>
                <c:pt idx="18">
                  <c:v>111.71015034643094</c:v>
                </c:pt>
                <c:pt idx="19">
                  <c:v>91.030923597592277</c:v>
                </c:pt>
                <c:pt idx="20">
                  <c:v>74.387773999294524</c:v>
                </c:pt>
                <c:pt idx="21">
                  <c:v>59.105099844999316</c:v>
                </c:pt>
                <c:pt idx="22">
                  <c:v>45.152668347062139</c:v>
                </c:pt>
                <c:pt idx="23">
                  <c:v>34.163050038286052</c:v>
                </c:pt>
                <c:pt idx="24">
                  <c:v>25.456007196669784</c:v>
                </c:pt>
                <c:pt idx="25">
                  <c:v>18.079207011411555</c:v>
                </c:pt>
                <c:pt idx="2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EF-4314-B29A-DF052EE86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5598368"/>
        <c:axId val="1695596704"/>
      </c:scatterChart>
      <c:valAx>
        <c:axId val="169559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5596704"/>
        <c:crosses val="autoZero"/>
        <c:crossBetween val="midCat"/>
      </c:valAx>
      <c:valAx>
        <c:axId val="169559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95598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109537</xdr:colOff>
      <xdr:row>2</xdr:row>
      <xdr:rowOff>142875</xdr:rowOff>
    </xdr:from>
    <xdr:to>
      <xdr:col>10</xdr:col>
      <xdr:colOff>566737</xdr:colOff>
      <xdr:row>13</xdr:row>
      <xdr:rowOff>161925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513AD08-5DE9-68C5-4F4E-2E61E64ACF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</xdr:row>
      <xdr:rowOff>95250</xdr:rowOff>
    </xdr:from>
    <xdr:to>
      <xdr:col>22</xdr:col>
      <xdr:colOff>523875</xdr:colOff>
      <xdr:row>13</xdr:row>
      <xdr:rowOff>114300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EBE06BF-D2A0-0BF0-B130-38AB8AB10C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57150</xdr:colOff>
      <xdr:row>2</xdr:row>
      <xdr:rowOff>152400</xdr:rowOff>
    </xdr:from>
    <xdr:to>
      <xdr:col>34</xdr:col>
      <xdr:colOff>514350</xdr:colOff>
      <xdr:row>13</xdr:row>
      <xdr:rowOff>171450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99AF11E-6526-D5DE-6D1A-12C0F91A93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AC56-3610-4A35-8CC9-B1568D72A0B4}">
  <dimension ref="A1:AD42"/>
  <sheetViews>
    <sheetView tabSelected="1" workbookViewId="0">
      <selection activeCell="R16" sqref="R16"/>
    </sheetView>
  </sheetViews>
  <sheetFormatPr defaultRowHeight="18.75" x14ac:dyDescent="0.4"/>
  <cols>
    <col min="13" max="13" width="10.875" bestFit="1" customWidth="1"/>
    <col min="14" max="14" width="9.875" customWidth="1"/>
  </cols>
  <sheetData>
    <row r="1" spans="1:30" ht="26.25" thickBot="1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7</v>
      </c>
      <c r="L1" t="s">
        <v>5</v>
      </c>
      <c r="M1" s="1" t="s">
        <v>0</v>
      </c>
      <c r="N1" s="2" t="s">
        <v>1</v>
      </c>
      <c r="O1" t="s">
        <v>2</v>
      </c>
      <c r="P1" t="s">
        <v>3</v>
      </c>
      <c r="Q1" t="s">
        <v>4</v>
      </c>
      <c r="R1" t="s">
        <v>7</v>
      </c>
      <c r="X1" t="s">
        <v>6</v>
      </c>
      <c r="Y1" s="1" t="s">
        <v>0</v>
      </c>
      <c r="Z1" s="2" t="s">
        <v>1</v>
      </c>
      <c r="AA1" t="s">
        <v>2</v>
      </c>
      <c r="AB1" t="s">
        <v>3</v>
      </c>
      <c r="AC1" t="s">
        <v>4</v>
      </c>
      <c r="AD1" t="s">
        <v>7</v>
      </c>
    </row>
    <row r="2" spans="1:30" ht="19.5" thickBot="1" x14ac:dyDescent="0.25">
      <c r="A2" s="3">
        <v>0</v>
      </c>
      <c r="B2" s="4">
        <v>0</v>
      </c>
      <c r="C2">
        <f t="shared" ref="C2:C27" si="0">A3-A2</f>
        <v>0.1</v>
      </c>
      <c r="D2">
        <f t="shared" ref="D2:D27" si="1">C2*B2</f>
        <v>0</v>
      </c>
      <c r="E2">
        <f>SUM(D3:D27)</f>
        <v>837.35699999999997</v>
      </c>
      <c r="F2">
        <v>4.92</v>
      </c>
      <c r="M2" s="6">
        <f>A2*$R$2/$F$2</f>
        <v>0</v>
      </c>
      <c r="N2" s="4">
        <v>0</v>
      </c>
      <c r="O2">
        <f>M3-M2</f>
        <v>6.2148373983739846E-2</v>
      </c>
      <c r="P2">
        <f>N2*O2</f>
        <v>0</v>
      </c>
      <c r="Q2">
        <v>598.08100000000002</v>
      </c>
      <c r="R2">
        <v>3.0577000000000001</v>
      </c>
      <c r="Y2" s="3">
        <f>A2*$AD$2/$F$2</f>
        <v>0</v>
      </c>
      <c r="Z2" s="4">
        <v>0</v>
      </c>
      <c r="AA2">
        <f>Y3-Y2</f>
        <v>4.4715447154471552E-2</v>
      </c>
      <c r="AB2">
        <f>AA2*Z2</f>
        <v>0</v>
      </c>
      <c r="AC2">
        <v>566</v>
      </c>
      <c r="AD2">
        <v>2.2000000000000002</v>
      </c>
    </row>
    <row r="3" spans="1:30" ht="19.5" thickBot="1" x14ac:dyDescent="0.25">
      <c r="A3" s="3">
        <v>0.1</v>
      </c>
      <c r="B3" s="4">
        <v>338.58</v>
      </c>
      <c r="C3">
        <f t="shared" si="0"/>
        <v>0.18999999999999997</v>
      </c>
      <c r="D3">
        <f>C3*B3</f>
        <v>64.330199999999991</v>
      </c>
      <c r="M3" s="6">
        <f>A3*$R$2/$F$2</f>
        <v>6.2148373983739846E-2</v>
      </c>
      <c r="N3" s="5">
        <f>B3*$Q$2/$E$2*$F$2/$R$2</f>
        <v>389.11760553714424</v>
      </c>
      <c r="O3">
        <f t="shared" ref="O3:O26" si="2">M4-M3</f>
        <v>0.11808191056910569</v>
      </c>
      <c r="P3">
        <f t="shared" ref="P3:P27" si="3">N3*O3</f>
        <v>45.947750297901614</v>
      </c>
      <c r="Y3" s="6">
        <f t="shared" ref="Y3:Y28" si="4">A3*$AD$2/$F$2</f>
        <v>4.4715447154471552E-2</v>
      </c>
      <c r="Z3" s="5">
        <f>B3*$AC$2/$E$2*$F$2/$AD$2</f>
        <v>511.81086203375617</v>
      </c>
      <c r="AA3" s="8">
        <f>Y4-Y3</f>
        <v>8.4959349593495923E-2</v>
      </c>
      <c r="AB3">
        <f>AA3*Z3</f>
        <v>43.483117953274402</v>
      </c>
    </row>
    <row r="4" spans="1:30" ht="19.5" thickBot="1" x14ac:dyDescent="0.25">
      <c r="A4" s="3">
        <v>0.28999999999999998</v>
      </c>
      <c r="B4" s="4">
        <v>384.42</v>
      </c>
      <c r="C4">
        <f t="shared" si="0"/>
        <v>0.18</v>
      </c>
      <c r="D4">
        <f t="shared" si="1"/>
        <v>69.195599999999999</v>
      </c>
      <c r="M4" s="6">
        <f t="shared" ref="M4:M28" si="5">A4*$R$2/$F$2</f>
        <v>0.18023028455284554</v>
      </c>
      <c r="N4" s="5">
        <f t="shared" ref="N4:N28" si="6">B4*$Q$2/$E$2*$F$2/$R$2</f>
        <v>441.79984027582555</v>
      </c>
      <c r="O4">
        <f t="shared" si="2"/>
        <v>0.11186707317073172</v>
      </c>
      <c r="P4">
        <f>N4*O4</f>
        <v>49.42285505895336</v>
      </c>
      <c r="Y4" s="6">
        <f t="shared" si="4"/>
        <v>0.12967479674796747</v>
      </c>
      <c r="Z4" s="5">
        <f t="shared" ref="Z4:Z28" si="7">B4*$AC$2/$E$2*$F$2/$AD$2</f>
        <v>581.10441131495236</v>
      </c>
      <c r="AA4">
        <f t="shared" ref="AA4:AA27" si="8">Y5-Y4</f>
        <v>8.0487804878048796E-2</v>
      </c>
      <c r="AB4">
        <f t="shared" ref="AB4:AB27" si="9">AA4*Z4</f>
        <v>46.771818471691297</v>
      </c>
    </row>
    <row r="5" spans="1:30" ht="19.5" thickBot="1" x14ac:dyDescent="0.25">
      <c r="A5" s="3">
        <v>0.47</v>
      </c>
      <c r="B5" s="4">
        <v>341.47</v>
      </c>
      <c r="C5">
        <f t="shared" si="0"/>
        <v>0.20000000000000007</v>
      </c>
      <c r="D5">
        <f t="shared" si="1"/>
        <v>68.294000000000025</v>
      </c>
      <c r="M5" s="6">
        <f t="shared" si="5"/>
        <v>0.29209735772357726</v>
      </c>
      <c r="N5" s="5">
        <f t="shared" si="6"/>
        <v>392.43897679357508</v>
      </c>
      <c r="O5">
        <f t="shared" si="2"/>
        <v>0.12429674796747969</v>
      </c>
      <c r="P5">
        <f t="shared" si="3"/>
        <v>48.778888591126616</v>
      </c>
      <c r="Y5" s="6">
        <f t="shared" si="4"/>
        <v>0.21016260162601627</v>
      </c>
      <c r="Z5" s="5">
        <f t="shared" si="7"/>
        <v>516.17949984838663</v>
      </c>
      <c r="AA5">
        <f t="shared" si="8"/>
        <v>8.9430894308943104E-2</v>
      </c>
      <c r="AB5">
        <f t="shared" si="9"/>
        <v>46.162394295384175</v>
      </c>
    </row>
    <row r="6" spans="1:30" ht="19.5" thickBot="1" x14ac:dyDescent="0.25">
      <c r="A6" s="3">
        <v>0.67</v>
      </c>
      <c r="B6" s="4">
        <v>279.18</v>
      </c>
      <c r="C6">
        <f t="shared" si="0"/>
        <v>0.19999999999999996</v>
      </c>
      <c r="D6">
        <f t="shared" si="1"/>
        <v>55.835999999999991</v>
      </c>
      <c r="M6" s="6">
        <f t="shared" si="5"/>
        <v>0.41639410569105695</v>
      </c>
      <c r="N6" s="5">
        <f t="shared" si="6"/>
        <v>320.85135895168037</v>
      </c>
      <c r="O6">
        <f t="shared" si="2"/>
        <v>0.12429674796747969</v>
      </c>
      <c r="P6">
        <f t="shared" si="3"/>
        <v>39.880780498640377</v>
      </c>
      <c r="Y6" s="6">
        <f t="shared" si="4"/>
        <v>0.29959349593495938</v>
      </c>
      <c r="Z6" s="5">
        <f t="shared" si="7"/>
        <v>422.01948272958845</v>
      </c>
      <c r="AA6" s="8">
        <f>Y7-Y6</f>
        <v>8.9430894308943076E-2</v>
      </c>
      <c r="AB6">
        <f t="shared" si="9"/>
        <v>37.741579756304652</v>
      </c>
    </row>
    <row r="7" spans="1:30" ht="19.5" thickBot="1" x14ac:dyDescent="0.25">
      <c r="A7" s="3">
        <v>0.87</v>
      </c>
      <c r="B7" s="4">
        <v>267.52999999999997</v>
      </c>
      <c r="C7">
        <f t="shared" si="0"/>
        <v>0.19000000000000006</v>
      </c>
      <c r="D7">
        <f t="shared" si="1"/>
        <v>50.830700000000007</v>
      </c>
      <c r="M7" s="6">
        <f t="shared" si="5"/>
        <v>0.54069085365853664</v>
      </c>
      <c r="N7" s="5">
        <f t="shared" si="6"/>
        <v>307.46244021900935</v>
      </c>
      <c r="O7">
        <f t="shared" si="2"/>
        <v>0.11808191056910566</v>
      </c>
      <c r="P7">
        <f t="shared" si="3"/>
        <v>36.305752369300059</v>
      </c>
      <c r="Y7" s="6">
        <f t="shared" si="4"/>
        <v>0.38902439024390245</v>
      </c>
      <c r="Z7" s="5">
        <f t="shared" si="7"/>
        <v>404.40888392666659</v>
      </c>
      <c r="AA7">
        <f t="shared" si="8"/>
        <v>8.4959349593495992E-2</v>
      </c>
      <c r="AB7">
        <f t="shared" si="9"/>
        <v>34.35831574824121</v>
      </c>
    </row>
    <row r="8" spans="1:30" ht="19.5" thickBot="1" x14ac:dyDescent="0.25">
      <c r="A8" s="3">
        <v>1.06</v>
      </c>
      <c r="B8" s="4">
        <v>256.32</v>
      </c>
      <c r="C8">
        <f t="shared" si="0"/>
        <v>0.18999999999999995</v>
      </c>
      <c r="D8">
        <f t="shared" si="1"/>
        <v>48.700799999999987</v>
      </c>
      <c r="M8" s="6">
        <f t="shared" si="5"/>
        <v>0.6587727642276423</v>
      </c>
      <c r="N8" s="5">
        <f t="shared" si="6"/>
        <v>294.57919738697149</v>
      </c>
      <c r="O8">
        <f t="shared" si="2"/>
        <v>0.11808191056910566</v>
      </c>
      <c r="P8">
        <f t="shared" si="3"/>
        <v>34.784474441367294</v>
      </c>
      <c r="Y8" s="6">
        <f t="shared" si="4"/>
        <v>0.47398373983739844</v>
      </c>
      <c r="Z8" s="5">
        <f t="shared" si="7"/>
        <v>387.46340645192384</v>
      </c>
      <c r="AA8">
        <f t="shared" si="8"/>
        <v>8.4959349593495881E-2</v>
      </c>
      <c r="AB8">
        <f t="shared" si="9"/>
        <v>32.918639003435786</v>
      </c>
    </row>
    <row r="9" spans="1:30" ht="19.5" thickBot="1" x14ac:dyDescent="0.25">
      <c r="A9" s="3">
        <v>1.25</v>
      </c>
      <c r="B9" s="4">
        <v>250.11</v>
      </c>
      <c r="C9">
        <f t="shared" si="0"/>
        <v>0.19999999999999996</v>
      </c>
      <c r="D9">
        <f t="shared" si="1"/>
        <v>50.021999999999991</v>
      </c>
      <c r="M9" s="6">
        <f t="shared" si="5"/>
        <v>0.77685467479674797</v>
      </c>
      <c r="N9" s="5">
        <f t="shared" si="6"/>
        <v>287.44227160758214</v>
      </c>
      <c r="O9">
        <f t="shared" si="2"/>
        <v>0.1242967479674798</v>
      </c>
      <c r="P9">
        <f t="shared" si="3"/>
        <v>35.728139589207515</v>
      </c>
      <c r="Y9" s="6">
        <f t="shared" si="4"/>
        <v>0.55894308943089432</v>
      </c>
      <c r="Z9" s="5">
        <f t="shared" si="7"/>
        <v>378.07612588830631</v>
      </c>
      <c r="AA9">
        <f t="shared" si="8"/>
        <v>8.9430894308943021E-2</v>
      </c>
      <c r="AB9">
        <f t="shared" si="9"/>
        <v>33.811686055051759</v>
      </c>
    </row>
    <row r="10" spans="1:30" ht="19.5" thickBot="1" x14ac:dyDescent="0.25">
      <c r="A10" s="3">
        <v>1.45</v>
      </c>
      <c r="B10" s="4">
        <v>244.4</v>
      </c>
      <c r="C10">
        <f t="shared" si="0"/>
        <v>0.18999999999999995</v>
      </c>
      <c r="D10">
        <f t="shared" si="1"/>
        <v>46.435999999999986</v>
      </c>
      <c r="M10" s="6">
        <f t="shared" si="5"/>
        <v>0.90115142276422777</v>
      </c>
      <c r="N10" s="5">
        <f t="shared" si="6"/>
        <v>280.87997753345758</v>
      </c>
      <c r="O10">
        <f t="shared" si="2"/>
        <v>0.11808191056910566</v>
      </c>
      <c r="P10">
        <f t="shared" si="3"/>
        <v>33.166844387758147</v>
      </c>
      <c r="Y10" s="6">
        <f t="shared" si="4"/>
        <v>0.64837398373983735</v>
      </c>
      <c r="Z10" s="5">
        <f t="shared" si="7"/>
        <v>369.44466501580126</v>
      </c>
      <c r="AA10">
        <f t="shared" si="8"/>
        <v>8.4959349593496047E-2</v>
      </c>
      <c r="AB10">
        <f t="shared" si="9"/>
        <v>31.387778450529499</v>
      </c>
    </row>
    <row r="11" spans="1:30" ht="19.5" thickBot="1" x14ac:dyDescent="0.25">
      <c r="A11" s="3">
        <v>1.64</v>
      </c>
      <c r="B11" s="4">
        <v>238.85</v>
      </c>
      <c r="C11">
        <f t="shared" si="0"/>
        <v>0.19000000000000017</v>
      </c>
      <c r="D11">
        <f t="shared" si="1"/>
        <v>45.381500000000038</v>
      </c>
      <c r="M11" s="6">
        <f t="shared" si="5"/>
        <v>1.0192333333333334</v>
      </c>
      <c r="N11" s="5">
        <f t="shared" si="6"/>
        <v>274.50156560501767</v>
      </c>
      <c r="O11">
        <f t="shared" si="2"/>
        <v>0.11808191056910577</v>
      </c>
      <c r="P11">
        <f t="shared" si="3"/>
        <v>32.41366932085122</v>
      </c>
      <c r="Y11" s="6">
        <f t="shared" si="4"/>
        <v>0.73333333333333339</v>
      </c>
      <c r="Z11" s="5">
        <f t="shared" si="7"/>
        <v>361.05506644445234</v>
      </c>
      <c r="AA11">
        <f t="shared" si="8"/>
        <v>8.4959349593496047E-2</v>
      </c>
      <c r="AB11">
        <f t="shared" si="9"/>
        <v>30.67500361255717</v>
      </c>
    </row>
    <row r="12" spans="1:30" ht="19.5" thickBot="1" x14ac:dyDescent="0.25">
      <c r="A12" s="3">
        <v>1.83</v>
      </c>
      <c r="B12" s="4">
        <v>236.5</v>
      </c>
      <c r="C12">
        <f t="shared" si="0"/>
        <v>0.19999999999999973</v>
      </c>
      <c r="D12">
        <f t="shared" si="1"/>
        <v>47.29999999999994</v>
      </c>
      <c r="M12" s="6">
        <f t="shared" si="5"/>
        <v>1.1373152439024392</v>
      </c>
      <c r="N12" s="5">
        <f t="shared" si="6"/>
        <v>271.80079659027297</v>
      </c>
      <c r="O12">
        <f t="shared" si="2"/>
        <v>0.12429674796747947</v>
      </c>
      <c r="P12">
        <f t="shared" si="3"/>
        <v>33.78395511114131</v>
      </c>
      <c r="Y12" s="6">
        <f t="shared" si="4"/>
        <v>0.81829268292682944</v>
      </c>
      <c r="Z12" s="5">
        <f t="shared" si="7"/>
        <v>357.50271389622344</v>
      </c>
      <c r="AA12">
        <f t="shared" si="8"/>
        <v>8.9430894308943021E-2</v>
      </c>
      <c r="AB12">
        <f t="shared" si="9"/>
        <v>31.971787421613453</v>
      </c>
    </row>
    <row r="13" spans="1:30" ht="19.5" thickBot="1" x14ac:dyDescent="0.25">
      <c r="A13" s="3">
        <v>2.0299999999999998</v>
      </c>
      <c r="B13" s="4">
        <v>232.03</v>
      </c>
      <c r="C13">
        <f t="shared" si="0"/>
        <v>0.19000000000000039</v>
      </c>
      <c r="D13">
        <f t="shared" si="1"/>
        <v>44.085700000000088</v>
      </c>
      <c r="M13" s="6">
        <f t="shared" si="5"/>
        <v>1.2616119918699187</v>
      </c>
      <c r="N13" s="5">
        <f t="shared" si="6"/>
        <v>266.66358914520521</v>
      </c>
      <c r="O13">
        <f t="shared" si="2"/>
        <v>0.118081910569106</v>
      </c>
      <c r="P13">
        <f t="shared" si="3"/>
        <v>31.488146085480945</v>
      </c>
      <c r="Y13" s="6">
        <f t="shared" si="4"/>
        <v>0.90772357723577246</v>
      </c>
      <c r="Z13" s="5">
        <f t="shared" si="7"/>
        <v>350.74568585767753</v>
      </c>
      <c r="AA13">
        <f t="shared" si="8"/>
        <v>8.4959349593496047E-2</v>
      </c>
      <c r="AB13">
        <f t="shared" si="9"/>
        <v>29.799125343192969</v>
      </c>
    </row>
    <row r="14" spans="1:30" ht="19.5" thickBot="1" x14ac:dyDescent="0.25">
      <c r="A14" s="3">
        <v>2.2200000000000002</v>
      </c>
      <c r="B14" s="4">
        <v>223.96</v>
      </c>
      <c r="C14">
        <f t="shared" si="0"/>
        <v>0.18999999999999995</v>
      </c>
      <c r="D14">
        <f t="shared" si="1"/>
        <v>42.552399999999992</v>
      </c>
      <c r="M14" s="6">
        <f t="shared" si="5"/>
        <v>1.3796939024390247</v>
      </c>
      <c r="N14" s="5">
        <f t="shared" si="6"/>
        <v>257.38903342223057</v>
      </c>
      <c r="O14">
        <f t="shared" si="2"/>
        <v>0.11808191056910555</v>
      </c>
      <c r="P14">
        <f t="shared" si="3"/>
        <v>30.392988826032351</v>
      </c>
      <c r="Y14" s="6">
        <f t="shared" si="4"/>
        <v>0.99268292682926851</v>
      </c>
      <c r="Z14" s="5">
        <f t="shared" si="7"/>
        <v>338.54675604312143</v>
      </c>
      <c r="AA14">
        <f t="shared" si="8"/>
        <v>8.4959349593495936E-2</v>
      </c>
      <c r="AB14">
        <f t="shared" si="9"/>
        <v>28.762712200411539</v>
      </c>
    </row>
    <row r="15" spans="1:30" ht="19.5" thickBot="1" x14ac:dyDescent="0.25">
      <c r="A15" s="3">
        <v>2.41</v>
      </c>
      <c r="B15" s="4">
        <v>213.24</v>
      </c>
      <c r="C15">
        <f t="shared" si="0"/>
        <v>0.19999999999999973</v>
      </c>
      <c r="D15">
        <f t="shared" si="1"/>
        <v>42.647999999999946</v>
      </c>
      <c r="M15" s="6">
        <f t="shared" si="5"/>
        <v>1.4977758130081302</v>
      </c>
      <c r="N15" s="5">
        <f t="shared" si="6"/>
        <v>245.06892966135223</v>
      </c>
      <c r="O15">
        <f t="shared" si="2"/>
        <v>0.12429674796747947</v>
      </c>
      <c r="P15">
        <f t="shared" si="3"/>
        <v>30.461270984777052</v>
      </c>
      <c r="Y15" s="6">
        <f t="shared" si="4"/>
        <v>1.0776422764227644</v>
      </c>
      <c r="Z15" s="5">
        <f t="shared" si="7"/>
        <v>322.34198186566886</v>
      </c>
      <c r="AA15">
        <f t="shared" si="8"/>
        <v>8.9430894308942799E-2</v>
      </c>
      <c r="AB15">
        <f t="shared" si="9"/>
        <v>28.827331711563787</v>
      </c>
    </row>
    <row r="16" spans="1:30" ht="19.5" thickBot="1" x14ac:dyDescent="0.25">
      <c r="A16" s="3">
        <v>2.61</v>
      </c>
      <c r="B16" s="4">
        <v>201.66</v>
      </c>
      <c r="C16">
        <f t="shared" si="0"/>
        <v>0.18999999999999995</v>
      </c>
      <c r="D16">
        <f t="shared" si="1"/>
        <v>38.31539999999999</v>
      </c>
      <c r="M16" s="6">
        <f t="shared" si="5"/>
        <v>1.6220725609756097</v>
      </c>
      <c r="N16" s="5">
        <f t="shared" si="6"/>
        <v>231.76045936741841</v>
      </c>
      <c r="O16">
        <f t="shared" si="2"/>
        <v>0.11808191056910577</v>
      </c>
      <c r="P16">
        <f t="shared" si="3"/>
        <v>27.366717836478372</v>
      </c>
      <c r="T16" s="7"/>
      <c r="U16" s="7"/>
      <c r="V16" s="7"/>
      <c r="Y16" s="6">
        <f t="shared" si="4"/>
        <v>1.1670731707317072</v>
      </c>
      <c r="Z16" s="5">
        <f t="shared" si="7"/>
        <v>304.83719781950288</v>
      </c>
      <c r="AA16">
        <f t="shared" si="8"/>
        <v>8.4959349593496158E-2</v>
      </c>
      <c r="AB16">
        <f t="shared" si="9"/>
        <v>25.898770058648889</v>
      </c>
    </row>
    <row r="17" spans="1:28" ht="19.5" thickBot="1" x14ac:dyDescent="0.25">
      <c r="A17" s="3">
        <v>2.8</v>
      </c>
      <c r="B17" s="4">
        <v>150.52000000000001</v>
      </c>
      <c r="C17">
        <f t="shared" si="0"/>
        <v>0.19000000000000039</v>
      </c>
      <c r="D17">
        <f t="shared" si="1"/>
        <v>28.598800000000061</v>
      </c>
      <c r="M17" s="6">
        <f t="shared" si="5"/>
        <v>1.7401544715447155</v>
      </c>
      <c r="N17" s="5">
        <f t="shared" si="6"/>
        <v>172.98712855292973</v>
      </c>
      <c r="O17">
        <f t="shared" si="2"/>
        <v>0.11808191056910577</v>
      </c>
      <c r="P17">
        <f t="shared" si="3"/>
        <v>20.426650643393451</v>
      </c>
      <c r="T17" s="7"/>
      <c r="U17" s="7"/>
      <c r="V17" s="7"/>
      <c r="Y17" s="6">
        <f t="shared" si="4"/>
        <v>1.2520325203252034</v>
      </c>
      <c r="Z17" s="5">
        <f t="shared" si="7"/>
        <v>227.53195981251397</v>
      </c>
      <c r="AA17">
        <f t="shared" si="8"/>
        <v>8.4959349593495936E-2</v>
      </c>
      <c r="AB17">
        <f t="shared" si="9"/>
        <v>19.330967317404642</v>
      </c>
    </row>
    <row r="18" spans="1:28" ht="19.5" thickBot="1" x14ac:dyDescent="0.25">
      <c r="A18" s="3">
        <v>2.99</v>
      </c>
      <c r="B18" s="4">
        <v>101.33</v>
      </c>
      <c r="C18">
        <f t="shared" si="0"/>
        <v>0.19999999999999973</v>
      </c>
      <c r="D18">
        <f t="shared" si="1"/>
        <v>20.265999999999973</v>
      </c>
      <c r="M18" s="6">
        <f t="shared" si="5"/>
        <v>1.8582363821138213</v>
      </c>
      <c r="N18" s="5">
        <f t="shared" si="6"/>
        <v>116.45486138897401</v>
      </c>
      <c r="O18">
        <f t="shared" si="2"/>
        <v>0.12429674796747969</v>
      </c>
      <c r="P18">
        <f t="shared" si="3"/>
        <v>14.474960555653084</v>
      </c>
      <c r="T18" s="7"/>
      <c r="U18" s="7"/>
      <c r="V18" s="7"/>
      <c r="Y18" s="6">
        <f t="shared" si="4"/>
        <v>1.3369918699186993</v>
      </c>
      <c r="Z18" s="5">
        <f t="shared" si="7"/>
        <v>153.17441860086393</v>
      </c>
      <c r="AA18">
        <f t="shared" si="8"/>
        <v>8.9430894308943021E-2</v>
      </c>
      <c r="AB18">
        <f t="shared" si="9"/>
        <v>13.698525240727658</v>
      </c>
    </row>
    <row r="19" spans="1:28" ht="19.5" thickBot="1" x14ac:dyDescent="0.25">
      <c r="A19" s="3">
        <v>3.19</v>
      </c>
      <c r="B19" s="4">
        <v>84</v>
      </c>
      <c r="C19">
        <f t="shared" si="0"/>
        <v>0.18999999999999995</v>
      </c>
      <c r="D19">
        <f t="shared" si="1"/>
        <v>15.959999999999996</v>
      </c>
      <c r="M19" s="6">
        <f t="shared" si="5"/>
        <v>1.9825331300813009</v>
      </c>
      <c r="N19" s="5">
        <f t="shared" si="6"/>
        <v>96.538126484494413</v>
      </c>
      <c r="O19">
        <f t="shared" si="2"/>
        <v>0.11808191056910555</v>
      </c>
      <c r="P19">
        <f t="shared" si="3"/>
        <v>11.39940641805107</v>
      </c>
      <c r="T19" s="7"/>
      <c r="U19" s="7"/>
      <c r="V19" s="7"/>
      <c r="Y19" s="6">
        <f t="shared" si="4"/>
        <v>1.4264227642276424</v>
      </c>
      <c r="Z19" s="5">
        <f t="shared" si="7"/>
        <v>126.97770810690389</v>
      </c>
      <c r="AA19">
        <f t="shared" si="8"/>
        <v>8.4959349593495936E-2</v>
      </c>
      <c r="AB19">
        <f t="shared" si="9"/>
        <v>10.78794349363533</v>
      </c>
    </row>
    <row r="20" spans="1:28" ht="19.5" thickBot="1" x14ac:dyDescent="0.25">
      <c r="A20" s="3">
        <v>3.38</v>
      </c>
      <c r="B20" s="4">
        <v>73.900000000000006</v>
      </c>
      <c r="C20">
        <f t="shared" si="0"/>
        <v>0.18999999999999995</v>
      </c>
      <c r="D20">
        <f t="shared" si="1"/>
        <v>14.040999999999997</v>
      </c>
      <c r="M20" s="6">
        <f t="shared" si="5"/>
        <v>2.1006150406504065</v>
      </c>
      <c r="N20" s="5">
        <f t="shared" si="6"/>
        <v>84.930566038144505</v>
      </c>
      <c r="O20">
        <f t="shared" si="2"/>
        <v>0.11808191056910555</v>
      </c>
      <c r="P20">
        <f t="shared" si="3"/>
        <v>10.028763503499693</v>
      </c>
      <c r="T20" s="7"/>
      <c r="U20" s="7"/>
      <c r="V20" s="7"/>
      <c r="Y20" s="6">
        <f t="shared" si="4"/>
        <v>1.5113821138211383</v>
      </c>
      <c r="Z20" s="5">
        <f t="shared" si="7"/>
        <v>111.71015034643094</v>
      </c>
      <c r="AA20">
        <f t="shared" si="8"/>
        <v>8.4959349593495936E-2</v>
      </c>
      <c r="AB20">
        <f t="shared" si="9"/>
        <v>9.4908217164244171</v>
      </c>
    </row>
    <row r="21" spans="1:28" ht="19.5" thickBot="1" x14ac:dyDescent="0.25">
      <c r="A21" s="3">
        <v>3.57</v>
      </c>
      <c r="B21" s="4">
        <v>60.22</v>
      </c>
      <c r="C21">
        <f t="shared" si="0"/>
        <v>0.20000000000000018</v>
      </c>
      <c r="D21">
        <f t="shared" si="1"/>
        <v>12.044000000000011</v>
      </c>
      <c r="M21" s="6">
        <f t="shared" si="5"/>
        <v>2.218696951219512</v>
      </c>
      <c r="N21" s="5">
        <f t="shared" si="6"/>
        <v>69.20864258209825</v>
      </c>
      <c r="O21">
        <f t="shared" si="2"/>
        <v>0.12429674796748014</v>
      </c>
      <c r="P21">
        <f t="shared" si="3"/>
        <v>8.6024092041984801</v>
      </c>
      <c r="T21" s="7"/>
      <c r="U21" s="7"/>
      <c r="V21" s="7"/>
      <c r="Y21" s="6">
        <f t="shared" si="4"/>
        <v>1.5963414634146342</v>
      </c>
      <c r="Z21" s="5">
        <f t="shared" si="7"/>
        <v>91.030923597592277</v>
      </c>
      <c r="AA21">
        <f t="shared" si="8"/>
        <v>8.9430894308943021E-2</v>
      </c>
      <c r="AB21">
        <f t="shared" si="9"/>
        <v>8.1409769071017415</v>
      </c>
    </row>
    <row r="22" spans="1:28" ht="19.5" thickBot="1" x14ac:dyDescent="0.25">
      <c r="A22" s="3">
        <v>3.77</v>
      </c>
      <c r="B22" s="4">
        <v>49.21</v>
      </c>
      <c r="C22">
        <f t="shared" si="0"/>
        <v>0.18999999999999995</v>
      </c>
      <c r="D22">
        <f t="shared" si="1"/>
        <v>9.3498999999999981</v>
      </c>
      <c r="M22" s="6">
        <f t="shared" si="5"/>
        <v>2.3429936991869922</v>
      </c>
      <c r="N22" s="5">
        <f t="shared" si="6"/>
        <v>56.555252432166313</v>
      </c>
      <c r="O22">
        <f t="shared" si="2"/>
        <v>0.11808191056910555</v>
      </c>
      <c r="P22">
        <f t="shared" si="3"/>
        <v>6.6781522599082521</v>
      </c>
      <c r="T22" s="7"/>
      <c r="U22" s="7"/>
      <c r="V22" s="7"/>
      <c r="Y22" s="6">
        <f t="shared" si="4"/>
        <v>1.6857723577235773</v>
      </c>
      <c r="Z22" s="5">
        <f t="shared" si="7"/>
        <v>74.387773999294524</v>
      </c>
      <c r="AA22">
        <f t="shared" si="8"/>
        <v>8.4959349593495936E-2</v>
      </c>
      <c r="AB22">
        <f t="shared" si="9"/>
        <v>6.3199368966880307</v>
      </c>
    </row>
    <row r="23" spans="1:28" ht="19.5" thickBot="1" x14ac:dyDescent="0.25">
      <c r="A23" s="3">
        <v>3.96</v>
      </c>
      <c r="B23" s="4">
        <v>39.1</v>
      </c>
      <c r="C23">
        <f t="shared" si="0"/>
        <v>0.19000000000000039</v>
      </c>
      <c r="D23">
        <f t="shared" si="1"/>
        <v>7.4290000000000154</v>
      </c>
      <c r="M23" s="6">
        <f t="shared" si="5"/>
        <v>2.4610756097560977</v>
      </c>
      <c r="N23" s="5">
        <f t="shared" si="6"/>
        <v>44.936199351711089</v>
      </c>
      <c r="O23">
        <f t="shared" si="2"/>
        <v>0.11808191056910555</v>
      </c>
      <c r="P23">
        <f t="shared" si="3"/>
        <v>5.3061522731642476</v>
      </c>
      <c r="T23" s="7"/>
      <c r="U23" s="7"/>
      <c r="V23" s="7"/>
      <c r="Y23" s="6">
        <f t="shared" si="4"/>
        <v>1.7707317073170732</v>
      </c>
      <c r="Z23" s="5">
        <f t="shared" si="7"/>
        <v>59.105099844999316</v>
      </c>
      <c r="AA23">
        <f t="shared" si="8"/>
        <v>8.4959349593496158E-2</v>
      </c>
      <c r="AB23">
        <f t="shared" si="9"/>
        <v>5.0215308404897927</v>
      </c>
    </row>
    <row r="24" spans="1:28" ht="19.5" thickBot="1" x14ac:dyDescent="0.25">
      <c r="A24" s="3">
        <v>4.1500000000000004</v>
      </c>
      <c r="B24" s="4">
        <v>29.87</v>
      </c>
      <c r="C24">
        <f t="shared" si="0"/>
        <v>0.19999999999999929</v>
      </c>
      <c r="D24">
        <f t="shared" si="1"/>
        <v>5.9739999999999789</v>
      </c>
      <c r="M24" s="6">
        <f t="shared" si="5"/>
        <v>2.5791575203252033</v>
      </c>
      <c r="N24" s="5">
        <f t="shared" si="6"/>
        <v>34.328498072522009</v>
      </c>
      <c r="O24">
        <f t="shared" si="2"/>
        <v>0.12429674796747925</v>
      </c>
      <c r="P24">
        <f t="shared" si="3"/>
        <v>4.2669206730223657</v>
      </c>
      <c r="T24" s="7"/>
      <c r="U24" s="7"/>
      <c r="V24" s="7"/>
      <c r="Y24" s="6">
        <f t="shared" si="4"/>
        <v>1.8556910569105693</v>
      </c>
      <c r="Z24" s="5">
        <f t="shared" si="7"/>
        <v>45.152668347062139</v>
      </c>
      <c r="AA24">
        <f t="shared" si="8"/>
        <v>8.9430894308943021E-2</v>
      </c>
      <c r="AB24">
        <f t="shared" si="9"/>
        <v>4.0380435107128712</v>
      </c>
    </row>
    <row r="25" spans="1:28" ht="19.5" thickBot="1" x14ac:dyDescent="0.25">
      <c r="A25" s="3">
        <v>4.3499999999999996</v>
      </c>
      <c r="B25" s="4">
        <v>22.6</v>
      </c>
      <c r="C25">
        <f t="shared" si="0"/>
        <v>0.19000000000000039</v>
      </c>
      <c r="D25">
        <f t="shared" si="1"/>
        <v>4.2940000000000094</v>
      </c>
      <c r="M25" s="6">
        <f t="shared" si="5"/>
        <v>2.7034542682926825</v>
      </c>
      <c r="N25" s="5">
        <f t="shared" si="6"/>
        <v>25.973353077971115</v>
      </c>
      <c r="O25">
        <f t="shared" si="2"/>
        <v>0.11808191056910644</v>
      </c>
      <c r="P25">
        <f t="shared" si="3"/>
        <v>3.0669831553328106</v>
      </c>
      <c r="T25" s="7"/>
      <c r="U25" s="7"/>
      <c r="V25" s="7"/>
      <c r="Y25" s="6">
        <f t="shared" si="4"/>
        <v>1.9451219512195124</v>
      </c>
      <c r="Z25" s="5">
        <f t="shared" si="7"/>
        <v>34.163050038286052</v>
      </c>
      <c r="AA25">
        <f t="shared" si="8"/>
        <v>8.4959349593495936E-2</v>
      </c>
      <c r="AB25">
        <f t="shared" si="9"/>
        <v>2.9024705113828393</v>
      </c>
    </row>
    <row r="26" spans="1:28" ht="19.5" thickBot="1" x14ac:dyDescent="0.25">
      <c r="A26" s="3">
        <v>4.54</v>
      </c>
      <c r="B26" s="4">
        <v>16.84</v>
      </c>
      <c r="C26">
        <f t="shared" si="0"/>
        <v>0.19000000000000039</v>
      </c>
      <c r="D26">
        <f t="shared" si="1"/>
        <v>3.1996000000000064</v>
      </c>
      <c r="M26" s="6">
        <f t="shared" si="5"/>
        <v>2.821536178861789</v>
      </c>
      <c r="N26" s="5">
        <f t="shared" si="6"/>
        <v>19.353595833320067</v>
      </c>
      <c r="O26">
        <f t="shared" si="2"/>
        <v>0.11808191056910555</v>
      </c>
      <c r="P26">
        <f t="shared" si="3"/>
        <v>2.2853095723807142</v>
      </c>
      <c r="T26" s="7"/>
      <c r="U26" s="7"/>
      <c r="V26" s="7"/>
      <c r="Y26" s="6">
        <f t="shared" si="4"/>
        <v>2.0300813008130083</v>
      </c>
      <c r="Z26" s="5">
        <f t="shared" si="7"/>
        <v>25.456007196669784</v>
      </c>
      <c r="AA26">
        <f t="shared" si="8"/>
        <v>8.495934959349638E-2</v>
      </c>
      <c r="AB26">
        <f t="shared" si="9"/>
        <v>2.1627258146764281</v>
      </c>
    </row>
    <row r="27" spans="1:28" ht="19.5" thickBot="1" x14ac:dyDescent="0.25">
      <c r="A27" s="3">
        <v>4.7300000000000004</v>
      </c>
      <c r="B27" s="4">
        <v>11.96</v>
      </c>
      <c r="C27">
        <f t="shared" si="0"/>
        <v>0.1899999999999995</v>
      </c>
      <c r="D27">
        <f t="shared" si="1"/>
        <v>2.2723999999999944</v>
      </c>
      <c r="M27" s="6">
        <f t="shared" si="5"/>
        <v>2.9396180894308945</v>
      </c>
      <c r="N27" s="5">
        <f t="shared" si="6"/>
        <v>13.745190389935159</v>
      </c>
      <c r="O27" s="8">
        <f>M28-M27</f>
        <v>0.11808191056910555</v>
      </c>
      <c r="P27">
        <f t="shared" si="3"/>
        <v>1.6230583423796525</v>
      </c>
      <c r="T27" s="7"/>
      <c r="U27" s="7"/>
      <c r="V27" s="7"/>
      <c r="Y27" s="6">
        <f t="shared" si="4"/>
        <v>2.1150406504065047</v>
      </c>
      <c r="Z27" s="5">
        <f t="shared" si="7"/>
        <v>18.079207011411555</v>
      </c>
      <c r="AA27">
        <f t="shared" si="8"/>
        <v>8.4959349593495492E-2</v>
      </c>
      <c r="AB27">
        <f t="shared" si="9"/>
        <v>1.5359976688556891</v>
      </c>
    </row>
    <row r="28" spans="1:28" ht="19.5" thickBot="1" x14ac:dyDescent="0.25">
      <c r="A28" s="3">
        <v>4.92</v>
      </c>
      <c r="B28" s="4">
        <v>0</v>
      </c>
      <c r="M28" s="6">
        <f t="shared" si="5"/>
        <v>3.0577000000000001</v>
      </c>
      <c r="N28" s="5">
        <f t="shared" si="6"/>
        <v>0</v>
      </c>
      <c r="T28" s="7"/>
      <c r="U28" s="7"/>
      <c r="V28" s="7"/>
      <c r="Y28" s="6">
        <f t="shared" si="4"/>
        <v>2.2000000000000002</v>
      </c>
      <c r="Z28" s="5">
        <f t="shared" si="7"/>
        <v>0</v>
      </c>
    </row>
    <row r="29" spans="1:28" x14ac:dyDescent="0.4">
      <c r="T29" s="7"/>
      <c r="U29" s="7"/>
      <c r="V29" s="7"/>
    </row>
    <row r="30" spans="1:28" x14ac:dyDescent="0.4">
      <c r="T30" s="7"/>
      <c r="U30" s="7"/>
      <c r="V30" s="7"/>
    </row>
    <row r="31" spans="1:28" x14ac:dyDescent="0.4">
      <c r="T31" s="7"/>
      <c r="U31" s="7"/>
      <c r="V31" s="7"/>
    </row>
    <row r="32" spans="1:28" x14ac:dyDescent="0.4">
      <c r="T32" s="7"/>
      <c r="U32" s="7"/>
      <c r="V32" s="7"/>
    </row>
    <row r="33" spans="20:22" x14ac:dyDescent="0.4">
      <c r="T33" s="7"/>
      <c r="U33" s="7"/>
      <c r="V33" s="7"/>
    </row>
    <row r="34" spans="20:22" x14ac:dyDescent="0.4">
      <c r="T34" s="7"/>
      <c r="U34" s="7"/>
      <c r="V34" s="7"/>
    </row>
    <row r="35" spans="20:22" x14ac:dyDescent="0.4">
      <c r="T35" s="7"/>
      <c r="U35" s="7"/>
      <c r="V35" s="7"/>
    </row>
    <row r="36" spans="20:22" x14ac:dyDescent="0.4">
      <c r="T36" s="7"/>
      <c r="U36" s="7"/>
      <c r="V36" s="7"/>
    </row>
    <row r="37" spans="20:22" x14ac:dyDescent="0.4">
      <c r="T37" s="7"/>
      <c r="U37" s="7"/>
      <c r="V37" s="7"/>
    </row>
    <row r="38" spans="20:22" x14ac:dyDescent="0.4">
      <c r="T38" s="7"/>
      <c r="U38" s="7"/>
      <c r="V38" s="7"/>
    </row>
    <row r="39" spans="20:22" x14ac:dyDescent="0.4">
      <c r="T39" s="7"/>
      <c r="U39" s="7"/>
      <c r="V39" s="7"/>
    </row>
    <row r="40" spans="20:22" x14ac:dyDescent="0.4">
      <c r="T40" s="7"/>
      <c r="U40" s="7"/>
      <c r="V40" s="7"/>
    </row>
    <row r="41" spans="20:22" x14ac:dyDescent="0.4">
      <c r="T41" s="7"/>
      <c r="U41" s="7"/>
      <c r="V41" s="7"/>
    </row>
    <row r="42" spans="20:22" x14ac:dyDescent="0.4">
      <c r="T42" s="7"/>
      <c r="U42" s="7"/>
      <c r="V42" s="7"/>
    </row>
  </sheetData>
  <phoneticPr fontId="3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 kim</dc:creator>
  <cp:lastModifiedBy>dm kim</cp:lastModifiedBy>
  <dcterms:created xsi:type="dcterms:W3CDTF">2022-05-17T08:17:01Z</dcterms:created>
  <dcterms:modified xsi:type="dcterms:W3CDTF">2022-05-19T02:32:55Z</dcterms:modified>
</cp:coreProperties>
</file>